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明细" sheetId="1" state="visible" r:id="rId1"/>
    <sheet name="主数据" sheetId="2" state="visible" r:id="rId2"/>
    <sheet name="汇总" sheetId="3" state="visible" r:id="rId3"/>
    <sheet name="甘特图" sheetId="4" state="visible" r:id="rId4"/>
    <sheet name="假设与口径" sheetId="5" state="visible" r:id="rId5"/>
  </sheets>
  <definedNames>
    <definedName name="_xlnm._FilterDatabase" localSheetId="0" hidden="1">'排产明细'!$A$1:$M$15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6" customWidth="1" min="4" max="4"/>
    <col width="8" customWidth="1" min="5" max="5"/>
    <col width="18" customWidth="1" min="6" max="6"/>
    <col width="18" customWidth="1" min="7" max="7"/>
    <col width="18" customWidth="1" min="8" max="8"/>
    <col width="12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>
      <c r="A1" s="1" t="inlineStr">
        <is>
          <t>产线</t>
        </is>
      </c>
      <c r="B1" s="1" t="inlineStr">
        <is>
          <t>订单号</t>
        </is>
      </c>
      <c r="C1" s="1" t="inlineStr">
        <is>
          <t>产品ID</t>
        </is>
      </c>
      <c r="D1" s="1" t="inlineStr">
        <is>
          <t>产品名称</t>
        </is>
      </c>
      <c r="E1" s="1" t="inlineStr">
        <is>
          <t>数量</t>
        </is>
      </c>
      <c r="F1" s="1" t="inlineStr">
        <is>
          <t>交期</t>
        </is>
      </c>
      <c r="G1" s="1" t="inlineStr">
        <is>
          <t>开始</t>
        </is>
      </c>
      <c r="H1" s="1" t="inlineStr">
        <is>
          <t>结束</t>
        </is>
      </c>
      <c r="I1" s="1" t="inlineStr">
        <is>
          <t>生产日期</t>
        </is>
      </c>
      <c r="J1" s="1" t="inlineStr">
        <is>
          <t>延期(分)</t>
        </is>
      </c>
      <c r="K1" s="1" t="inlineStr">
        <is>
          <t>准时(1/0)</t>
        </is>
      </c>
      <c r="L1" s="1" t="inlineStr">
        <is>
          <t>负荷(小时)</t>
        </is>
      </c>
      <c r="M1" s="1" t="inlineStr">
        <is>
          <t>延期(天)</t>
        </is>
      </c>
    </row>
    <row r="2">
      <c r="A2" s="2" t="inlineStr">
        <is>
          <t>L1</t>
        </is>
      </c>
      <c r="B2" s="2" t="inlineStr">
        <is>
          <t>O-001</t>
        </is>
      </c>
      <c r="C2" s="2" t="inlineStr">
        <is>
          <t>toast_plain</t>
        </is>
      </c>
      <c r="D2" s="2" t="inlineStr">
        <is>
          <t>原味吐司</t>
        </is>
      </c>
      <c r="E2" s="2" t="n">
        <v>10000</v>
      </c>
      <c r="F2" s="3" t="n">
        <v>46258.75</v>
      </c>
      <c r="G2" s="3" t="n">
        <v>46258.33333333334</v>
      </c>
      <c r="H2" s="3" t="n">
        <v>46258.53333333333</v>
      </c>
      <c r="I2" s="2" t="inlineStr">
        <is>
          <t>2026-08-24</t>
        </is>
      </c>
      <c r="J2" s="2">
        <f>MAX(0,ROUND((H2-F2)*1440,0))</f>
        <v/>
      </c>
      <c r="K2" s="2">
        <f>IF(J2=0,1,0)</f>
        <v/>
      </c>
      <c r="L2" s="2">
        <f>IFERROR(ROUND(E2/VLOOKUP(C2,主数据!$A:$D,4,0)*8,2),0)</f>
        <v/>
      </c>
      <c r="M2" s="2">
        <f>IF(J2=0,0,ROUND(J2/1440,1))</f>
        <v/>
      </c>
    </row>
    <row r="3">
      <c r="A3" s="2" t="inlineStr">
        <is>
          <t>L1</t>
        </is>
      </c>
      <c r="B3" s="2" t="inlineStr">
        <is>
          <t>O-002</t>
        </is>
      </c>
      <c r="C3" s="2" t="inlineStr">
        <is>
          <t>toast_wheat</t>
        </is>
      </c>
      <c r="D3" s="2" t="inlineStr">
        <is>
          <t>全麦吐司</t>
        </is>
      </c>
      <c r="E3" s="2" t="n">
        <v>8000</v>
      </c>
      <c r="F3" s="3" t="n">
        <v>46259.5</v>
      </c>
      <c r="G3" s="3" t="n">
        <v>46258.54722222222</v>
      </c>
      <c r="H3" s="3" t="n">
        <v>46259.39097222222</v>
      </c>
      <c r="I3" s="2" t="inlineStr">
        <is>
          <t>2026-08-25</t>
        </is>
      </c>
      <c r="J3" s="2">
        <f>MAX(0,ROUND((H3-F3)*1440,0))</f>
        <v/>
      </c>
      <c r="K3" s="2">
        <f>IF(J3=0,1,0)</f>
        <v/>
      </c>
      <c r="L3" s="2">
        <f>IFERROR(ROUND(E3/VLOOKUP(C3,主数据!$A:$D,4,0)*8,2),0)</f>
        <v/>
      </c>
      <c r="M3" s="2">
        <f>IF(J3=0,0,ROUND(J3/1440,1))</f>
        <v/>
      </c>
    </row>
    <row r="4">
      <c r="A4" s="2" t="inlineStr">
        <is>
          <t>L1</t>
        </is>
      </c>
      <c r="B4" s="2" t="inlineStr">
        <is>
          <t>O-006</t>
        </is>
      </c>
      <c r="C4" s="2" t="inlineStr">
        <is>
          <t>toast_plain</t>
        </is>
      </c>
      <c r="D4" s="2" t="inlineStr">
        <is>
          <t>原味吐司</t>
        </is>
      </c>
      <c r="E4" s="2" t="n">
        <v>14000</v>
      </c>
      <c r="F4" s="3" t="n">
        <v>46261.5</v>
      </c>
      <c r="G4" s="3" t="n">
        <v>46260.33333333334</v>
      </c>
      <c r="H4" s="3" t="n">
        <v>46260.60902777778</v>
      </c>
      <c r="I4" s="2" t="inlineStr">
        <is>
          <t>2026-08-26</t>
        </is>
      </c>
      <c r="J4" s="2">
        <f>MAX(0,ROUND((H4-F4)*1440,0))</f>
        <v/>
      </c>
      <c r="K4" s="2">
        <f>IF(J4=0,1,0)</f>
        <v/>
      </c>
      <c r="L4" s="2">
        <f>IFERROR(ROUND(E4/VLOOKUP(C4,主数据!$A:$D,4,0)*8,2),0)</f>
        <v/>
      </c>
      <c r="M4" s="2">
        <f>IF(J4=0,0,ROUND(J4/1440,1))</f>
        <v/>
      </c>
    </row>
    <row r="5">
      <c r="A5" s="2" t="inlineStr">
        <is>
          <t>L1</t>
        </is>
      </c>
      <c r="B5" s="2" t="inlineStr">
        <is>
          <t>O-009</t>
        </is>
      </c>
      <c r="C5" s="2" t="inlineStr">
        <is>
          <t>bun</t>
        </is>
      </c>
      <c r="D5" s="2" t="inlineStr">
        <is>
          <t>黄油餐包</t>
        </is>
      </c>
      <c r="E5" s="2" t="n">
        <v>10000</v>
      </c>
      <c r="F5" s="3" t="n">
        <v>46262.5</v>
      </c>
      <c r="G5" s="3" t="n">
        <v>46261.33333333334</v>
      </c>
      <c r="H5" s="3" t="n">
        <v>46261.62152777778</v>
      </c>
      <c r="I5" s="2" t="inlineStr">
        <is>
          <t>2026-08-27</t>
        </is>
      </c>
      <c r="J5" s="2">
        <f>MAX(0,ROUND((H5-F5)*1440,0))</f>
        <v/>
      </c>
      <c r="K5" s="2">
        <f>IF(J5=0,1,0)</f>
        <v/>
      </c>
      <c r="L5" s="2">
        <f>IFERROR(ROUND(E5/VLOOKUP(C5,主数据!$A:$D,4,0)*8,2),0)</f>
        <v/>
      </c>
      <c r="M5" s="2">
        <f>IF(J5=0,0,ROUND(J5/1440,1))</f>
        <v/>
      </c>
    </row>
    <row r="6">
      <c r="A6" s="2" t="inlineStr">
        <is>
          <t>L1</t>
        </is>
      </c>
      <c r="B6" s="2" t="inlineStr">
        <is>
          <t>O-010</t>
        </is>
      </c>
      <c r="C6" s="2" t="inlineStr">
        <is>
          <t>toast_wheat</t>
        </is>
      </c>
      <c r="D6" s="2" t="inlineStr">
        <is>
          <t>全麦吐司</t>
        </is>
      </c>
      <c r="E6" s="2" t="n">
        <v>12000</v>
      </c>
      <c r="F6" s="3" t="n">
        <v>46262.66666666666</v>
      </c>
      <c r="G6" s="3" t="n">
        <v>46262.33333333334</v>
      </c>
      <c r="H6" s="3" t="n">
        <v>46262.59375</v>
      </c>
      <c r="I6" s="2" t="inlineStr">
        <is>
          <t>2026-08-28</t>
        </is>
      </c>
      <c r="J6" s="2">
        <f>MAX(0,ROUND((H6-F6)*1440,0))</f>
        <v/>
      </c>
      <c r="K6" s="2">
        <f>IF(J6=0,1,0)</f>
        <v/>
      </c>
      <c r="L6" s="2">
        <f>IFERROR(ROUND(E6/VLOOKUP(C6,主数据!$A:$D,4,0)*8,2),0)</f>
        <v/>
      </c>
      <c r="M6" s="2">
        <f>IF(J6=0,0,ROUND(J6/1440,1))</f>
        <v/>
      </c>
    </row>
    <row r="7">
      <c r="A7" s="2" t="inlineStr">
        <is>
          <t>L2</t>
        </is>
      </c>
      <c r="B7" s="2" t="inlineStr">
        <is>
          <t>O-003</t>
        </is>
      </c>
      <c r="C7" s="2" t="inlineStr">
        <is>
          <t>cake_chiffon</t>
        </is>
      </c>
      <c r="D7" s="2" t="inlineStr">
        <is>
          <t>戚风蛋糕</t>
        </is>
      </c>
      <c r="E7" s="2" t="n">
        <v>4000</v>
      </c>
      <c r="F7" s="3" t="n">
        <v>46259.66666666666</v>
      </c>
      <c r="G7" s="3" t="n">
        <v>46259.33333333334</v>
      </c>
      <c r="H7" s="3" t="n">
        <v>46259.52291666667</v>
      </c>
      <c r="I7" s="2" t="inlineStr">
        <is>
          <t>2026-08-25</t>
        </is>
      </c>
      <c r="J7" s="2">
        <f>MAX(0,ROUND((H7-F7)*1440,0))</f>
        <v/>
      </c>
      <c r="K7" s="2">
        <f>IF(J7=0,1,0)</f>
        <v/>
      </c>
      <c r="L7" s="2">
        <f>IFERROR(ROUND(E7/VLOOKUP(C7,主数据!$A:$D,4,0)*8,2),0)</f>
        <v/>
      </c>
      <c r="M7" s="2">
        <f>IF(J7=0,0,ROUND(J7/1440,1))</f>
        <v/>
      </c>
    </row>
    <row r="8">
      <c r="A8" s="2" t="inlineStr">
        <is>
          <t>L2</t>
        </is>
      </c>
      <c r="B8" s="2" t="inlineStr">
        <is>
          <t>O-004</t>
        </is>
      </c>
      <c r="C8" s="2" t="inlineStr">
        <is>
          <t>cake_sponge</t>
        </is>
      </c>
      <c r="D8" s="2" t="inlineStr">
        <is>
          <t>海绵蛋糕</t>
        </is>
      </c>
      <c r="E8" s="2" t="n">
        <v>5000</v>
      </c>
      <c r="F8" s="3" t="n">
        <v>46260.5</v>
      </c>
      <c r="G8" s="3" t="n">
        <v>46259.54722222222</v>
      </c>
      <c r="H8" s="3" t="n">
        <v>46260.43611111111</v>
      </c>
      <c r="I8" s="2" t="inlineStr">
        <is>
          <t>2026-08-26</t>
        </is>
      </c>
      <c r="J8" s="2">
        <f>MAX(0,ROUND((H8-F8)*1440,0))</f>
        <v/>
      </c>
      <c r="K8" s="2">
        <f>IF(J8=0,1,0)</f>
        <v/>
      </c>
      <c r="L8" s="2">
        <f>IFERROR(ROUND(E8/VLOOKUP(C8,主数据!$A:$D,4,0)*8,2),0)</f>
        <v/>
      </c>
      <c r="M8" s="2">
        <f>IF(J8=0,0,ROUND(J8/1440,1))</f>
        <v/>
      </c>
    </row>
    <row r="9">
      <c r="A9" s="2" t="inlineStr">
        <is>
          <t>L2</t>
        </is>
      </c>
      <c r="B9" s="2" t="inlineStr">
        <is>
          <t>O-008</t>
        </is>
      </c>
      <c r="C9" s="2" t="inlineStr">
        <is>
          <t>cake_chiffon</t>
        </is>
      </c>
      <c r="D9" s="2" t="inlineStr">
        <is>
          <t>戚风蛋糕</t>
        </is>
      </c>
      <c r="E9" s="2" t="n">
        <v>6000</v>
      </c>
      <c r="F9" s="3" t="n">
        <v>46261.66666666666</v>
      </c>
      <c r="G9" s="3" t="n">
        <v>46261.33333333334</v>
      </c>
      <c r="H9" s="3" t="n">
        <v>46261.61041666667</v>
      </c>
      <c r="I9" s="2" t="inlineStr">
        <is>
          <t>2026-08-27</t>
        </is>
      </c>
      <c r="J9" s="2">
        <f>MAX(0,ROUND((H9-F9)*1440,0))</f>
        <v/>
      </c>
      <c r="K9" s="2">
        <f>IF(J9=0,1,0)</f>
        <v/>
      </c>
      <c r="L9" s="2">
        <f>IFERROR(ROUND(E9/VLOOKUP(C9,主数据!$A:$D,4,0)*8,2),0)</f>
        <v/>
      </c>
      <c r="M9" s="2">
        <f>IF(J9=0,0,ROUND(J9/1440,1))</f>
        <v/>
      </c>
    </row>
    <row r="10">
      <c r="A10" s="2" t="inlineStr">
        <is>
          <t>L2</t>
        </is>
      </c>
      <c r="B10" s="2" t="inlineStr">
        <is>
          <t>O-012</t>
        </is>
      </c>
      <c r="C10" s="2" t="inlineStr">
        <is>
          <t>cake_sponge</t>
        </is>
      </c>
      <c r="D10" s="2" t="inlineStr">
        <is>
          <t>海绵蛋糕</t>
        </is>
      </c>
      <c r="E10" s="2" t="n">
        <v>4000</v>
      </c>
      <c r="F10" s="3" t="n">
        <v>46262.66666666666</v>
      </c>
      <c r="G10" s="3" t="n">
        <v>46262.33333333334</v>
      </c>
      <c r="H10" s="3" t="n">
        <v>46262.51388888889</v>
      </c>
      <c r="I10" s="2" t="inlineStr">
        <is>
          <t>2026-08-28</t>
        </is>
      </c>
      <c r="J10" s="2">
        <f>MAX(0,ROUND((H10-F10)*1440,0))</f>
        <v/>
      </c>
      <c r="K10" s="2">
        <f>IF(J10=0,1,0)</f>
        <v/>
      </c>
      <c r="L10" s="2">
        <f>IFERROR(ROUND(E10/VLOOKUP(C10,主数据!$A:$D,4,0)*8,2),0)</f>
        <v/>
      </c>
      <c r="M10" s="2">
        <f>IF(J10=0,0,ROUND(J10/1440,1))</f>
        <v/>
      </c>
    </row>
    <row r="11">
      <c r="A11" s="2" t="inlineStr">
        <is>
          <t>L3</t>
        </is>
      </c>
      <c r="B11" s="2" t="inlineStr">
        <is>
          <t>O-013</t>
        </is>
      </c>
      <c r="C11" s="2" t="inlineStr">
        <is>
          <t>baguette</t>
        </is>
      </c>
      <c r="D11" s="2" t="inlineStr">
        <is>
          <t>法棍</t>
        </is>
      </c>
      <c r="E11" s="2" t="n">
        <v>8000</v>
      </c>
      <c r="F11" s="3" t="n">
        <v>46259.58333333334</v>
      </c>
      <c r="G11" s="3" t="n">
        <v>46258.33333333334</v>
      </c>
      <c r="H11" s="3" t="n">
        <v>46258.62152777778</v>
      </c>
      <c r="I11" s="2" t="inlineStr">
        <is>
          <t>2026-08-24</t>
        </is>
      </c>
      <c r="J11" s="2">
        <f>MAX(0,ROUND((H11-F11)*1440,0))</f>
        <v/>
      </c>
      <c r="K11" s="2">
        <f>IF(J11=0,1,0)</f>
        <v/>
      </c>
      <c r="L11" s="2">
        <f>IFERROR(ROUND(E11/VLOOKUP(C11,主数据!$A:$D,4,0)*8,2),0)</f>
        <v/>
      </c>
      <c r="M11" s="2">
        <f>IF(J11=0,0,ROUND(J11/1440,1))</f>
        <v/>
      </c>
    </row>
    <row r="12">
      <c r="A12" s="2" t="inlineStr">
        <is>
          <t>L3</t>
        </is>
      </c>
      <c r="B12" s="2" t="inlineStr">
        <is>
          <t>O-014</t>
        </is>
      </c>
      <c r="C12" s="2" t="inlineStr">
        <is>
          <t>bun</t>
        </is>
      </c>
      <c r="D12" s="2" t="inlineStr">
        <is>
          <t>黄油餐包</t>
        </is>
      </c>
      <c r="E12" s="2" t="n">
        <v>5000</v>
      </c>
      <c r="F12" s="3" t="n">
        <v>46260.41666666666</v>
      </c>
      <c r="G12" s="3" t="n">
        <v>46259.33333333334</v>
      </c>
      <c r="H12" s="3" t="n">
        <v>46259.46666666667</v>
      </c>
      <c r="I12" s="2" t="inlineStr">
        <is>
          <t>2026-08-25</t>
        </is>
      </c>
      <c r="J12" s="2">
        <f>MAX(0,ROUND((H12-F12)*1440,0))</f>
        <v/>
      </c>
      <c r="K12" s="2">
        <f>IF(J12=0,1,0)</f>
        <v/>
      </c>
      <c r="L12" s="2">
        <f>IFERROR(ROUND(E12/VLOOKUP(C12,主数据!$A:$D,4,0)*8,2),0)</f>
        <v/>
      </c>
      <c r="M12" s="2">
        <f>IF(J12=0,0,ROUND(J12/1440,1))</f>
        <v/>
      </c>
    </row>
    <row r="13">
      <c r="A13" s="2" t="inlineStr">
        <is>
          <t>L3</t>
        </is>
      </c>
      <c r="B13" s="2" t="inlineStr">
        <is>
          <t>O-005</t>
        </is>
      </c>
      <c r="C13" s="2" t="inlineStr">
        <is>
          <t>croissant</t>
        </is>
      </c>
      <c r="D13" s="2" t="inlineStr">
        <is>
          <t>牛角包</t>
        </is>
      </c>
      <c r="E13" s="2" t="n">
        <v>9000</v>
      </c>
      <c r="F13" s="3" t="n">
        <v>46260.75</v>
      </c>
      <c r="G13" s="3" t="n">
        <v>46260.33333333334</v>
      </c>
      <c r="H13" s="3" t="n">
        <v>46260.59375</v>
      </c>
      <c r="I13" s="2" t="inlineStr">
        <is>
          <t>2026-08-26</t>
        </is>
      </c>
      <c r="J13" s="2">
        <f>MAX(0,ROUND((H13-F13)*1440,0))</f>
        <v/>
      </c>
      <c r="K13" s="2">
        <f>IF(J13=0,1,0)</f>
        <v/>
      </c>
      <c r="L13" s="2">
        <f>IFERROR(ROUND(E13/VLOOKUP(C13,主数据!$A:$D,4,0)*8,2),0)</f>
        <v/>
      </c>
      <c r="M13" s="2">
        <f>IF(J13=0,0,ROUND(J13/1440,1))</f>
        <v/>
      </c>
    </row>
    <row r="14">
      <c r="A14" s="2" t="inlineStr">
        <is>
          <t>L3</t>
        </is>
      </c>
      <c r="B14" s="2" t="inlineStr">
        <is>
          <t>O-007</t>
        </is>
      </c>
      <c r="C14" s="2" t="inlineStr">
        <is>
          <t>baguette</t>
        </is>
      </c>
      <c r="D14" s="2" t="inlineStr">
        <is>
          <t>法棍</t>
        </is>
      </c>
      <c r="E14" s="2" t="n">
        <v>6000</v>
      </c>
      <c r="F14" s="3" t="n">
        <v>46261.75</v>
      </c>
      <c r="G14" s="3" t="n">
        <v>46261.33333333334</v>
      </c>
      <c r="H14" s="3" t="n">
        <v>46261.55208333334</v>
      </c>
      <c r="I14" s="2" t="inlineStr">
        <is>
          <t>2026-08-27</t>
        </is>
      </c>
      <c r="J14" s="2">
        <f>MAX(0,ROUND((H14-F14)*1440,0))</f>
        <v/>
      </c>
      <c r="K14" s="2">
        <f>IF(J14=0,1,0)</f>
        <v/>
      </c>
      <c r="L14" s="2">
        <f>IFERROR(ROUND(E14/VLOOKUP(C14,主数据!$A:$D,4,0)*8,2),0)</f>
        <v/>
      </c>
      <c r="M14" s="2">
        <f>IF(J14=0,0,ROUND(J14/1440,1))</f>
        <v/>
      </c>
    </row>
    <row r="15">
      <c r="A15" s="2" t="inlineStr">
        <is>
          <t>L3</t>
        </is>
      </c>
      <c r="B15" s="2" t="inlineStr">
        <is>
          <t>O-011</t>
        </is>
      </c>
      <c r="C15" s="2" t="inlineStr">
        <is>
          <t>croissant</t>
        </is>
      </c>
      <c r="D15" s="2" t="inlineStr">
        <is>
          <t>牛角包</t>
        </is>
      </c>
      <c r="E15" s="2" t="n">
        <v>6000</v>
      </c>
      <c r="F15" s="3" t="n">
        <v>46262.5</v>
      </c>
      <c r="G15" s="3" t="n">
        <v>46261.56944444445</v>
      </c>
      <c r="H15" s="3" t="n">
        <v>46262.41319444445</v>
      </c>
      <c r="I15" s="2" t="inlineStr">
        <is>
          <t>2026-08-28</t>
        </is>
      </c>
      <c r="J15" s="2">
        <f>MAX(0,ROUND((H15-F15)*1440,0))</f>
        <v/>
      </c>
      <c r="K15" s="2">
        <f>IF(J15=0,1,0)</f>
        <v/>
      </c>
      <c r="L15" s="2">
        <f>IFERROR(ROUND(E15/VLOOKUP(C15,主数据!$A:$D,4,0)*8,2),0)</f>
        <v/>
      </c>
      <c r="M15" s="2">
        <f>IF(J15=0,0,ROUND(J15/1440,1))</f>
        <v/>
      </c>
    </row>
  </sheetData>
  <autoFilter ref="A1:M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产品ID</t>
        </is>
      </c>
      <c r="B1" s="4" t="inlineStr">
        <is>
          <t>产品名称</t>
        </is>
      </c>
      <c r="C1" s="4" t="inlineStr">
        <is>
          <t>单位</t>
        </is>
      </c>
      <c r="D1" s="4" t="inlineStr">
        <is>
          <t>8h产能</t>
        </is>
      </c>
    </row>
    <row r="2">
      <c r="A2" t="inlineStr">
        <is>
          <t>baguette</t>
        </is>
      </c>
      <c r="B2" t="inlineStr">
        <is>
          <t>法棍</t>
        </is>
      </c>
      <c r="C2" t="inlineStr"/>
      <c r="D2" t="n">
        <v>8800</v>
      </c>
    </row>
    <row r="3">
      <c r="A3" t="inlineStr">
        <is>
          <t>bun</t>
        </is>
      </c>
      <c r="B3" t="inlineStr">
        <is>
          <t>黄油餐包</t>
        </is>
      </c>
      <c r="C3" t="inlineStr"/>
      <c r="D3" t="n">
        <v>12800</v>
      </c>
    </row>
    <row r="4">
      <c r="A4" t="inlineStr">
        <is>
          <t>cake_chiffon</t>
        </is>
      </c>
      <c r="B4" t="inlineStr">
        <is>
          <t>戚风蛋糕</t>
        </is>
      </c>
      <c r="C4" t="inlineStr"/>
      <c r="D4" t="n">
        <v>7200</v>
      </c>
    </row>
    <row r="5">
      <c r="A5" t="inlineStr">
        <is>
          <t>cake_sponge</t>
        </is>
      </c>
      <c r="B5" t="inlineStr">
        <is>
          <t>海绵蛋糕</t>
        </is>
      </c>
      <c r="C5" t="inlineStr"/>
      <c r="D5" t="n">
        <v>7600</v>
      </c>
    </row>
    <row r="6">
      <c r="A6" t="inlineStr">
        <is>
          <t>croissant</t>
        </is>
      </c>
      <c r="B6" t="inlineStr">
        <is>
          <t>牛角包</t>
        </is>
      </c>
      <c r="C6" t="inlineStr"/>
      <c r="D6" t="n">
        <v>11200</v>
      </c>
    </row>
    <row r="7">
      <c r="A7" t="inlineStr">
        <is>
          <t>toast_plain</t>
        </is>
      </c>
      <c r="B7" t="inlineStr">
        <is>
          <t>原味吐司</t>
        </is>
      </c>
      <c r="C7" t="inlineStr"/>
      <c r="D7" t="n">
        <v>16000</v>
      </c>
    </row>
    <row r="8">
      <c r="A8" t="inlineStr">
        <is>
          <t>toast_wheat</t>
        </is>
      </c>
      <c r="B8" t="inlineStr">
        <is>
          <t>全麦吐司</t>
        </is>
      </c>
      <c r="C8" t="inlineStr"/>
      <c r="D8" t="n">
        <v>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APS Engine 排产示例（5-Sheet 公式联动·可核查）（公式联动，打开自动重算）</t>
        </is>
      </c>
    </row>
    <row r="2">
      <c r="A2" t="inlineStr">
        <is>
          <t>生成 2026-08-28 10:35 | 引擎 cp | 订单 14</t>
        </is>
      </c>
    </row>
    <row r="3">
      <c r="A3" s="6" t="inlineStr">
        <is>
          <t>指标</t>
        </is>
      </c>
      <c r="B3" s="6" t="inlineStr">
        <is>
          <t>公式</t>
        </is>
      </c>
      <c r="C3" s="6" t="inlineStr">
        <is>
          <t>口径</t>
        </is>
      </c>
    </row>
    <row r="4">
      <c r="A4" t="inlineStr">
        <is>
          <t>总订单数</t>
        </is>
      </c>
      <c r="B4">
        <f>COUNTA(排产明细!$B$2:$B15)</f>
        <v/>
      </c>
      <c r="C4" t="inlineStr">
        <is>
          <t>勾稽明细公式</t>
        </is>
      </c>
    </row>
    <row r="5">
      <c r="A5" t="inlineStr">
        <is>
          <t>准时数</t>
        </is>
      </c>
      <c r="B5">
        <f>COUNTIF(排产明细!$K$2:$K15,1)</f>
        <v/>
      </c>
      <c r="C5" t="inlineStr">
        <is>
          <t>勾稽明细公式</t>
        </is>
      </c>
    </row>
    <row r="6">
      <c r="A6" t="inlineStr">
        <is>
          <t>延期数</t>
        </is>
      </c>
      <c r="B6">
        <f>B4-B5</f>
        <v/>
      </c>
      <c r="C6" t="inlineStr">
        <is>
          <t>勾稽明细公式</t>
        </is>
      </c>
    </row>
    <row r="7">
      <c r="A7" t="inlineStr">
        <is>
          <t>准时率</t>
        </is>
      </c>
      <c r="B7">
        <f>IFERROR(B5/B4,0)</f>
        <v/>
      </c>
      <c r="C7" t="inlineStr">
        <is>
          <t>勾稽明细公式</t>
        </is>
      </c>
    </row>
    <row r="8">
      <c r="A8" t="inlineStr">
        <is>
          <t>总延期(分钟)</t>
        </is>
      </c>
      <c r="B8">
        <f>SUM(排产明细!$J$2:$J15)</f>
        <v/>
      </c>
      <c r="C8" t="inlineStr">
        <is>
          <t>勾稽明细公式</t>
        </is>
      </c>
    </row>
    <row r="9">
      <c r="A9" t="inlineStr">
        <is>
          <t>最大延期(分钟)</t>
        </is>
      </c>
      <c r="B9">
        <f>MAX(排产明细!$J$2:$J15)</f>
        <v/>
      </c>
      <c r="C9" t="inlineStr">
        <is>
          <t>勾稽明细公式</t>
        </is>
      </c>
    </row>
    <row r="10">
      <c r="A10" t="inlineStr">
        <is>
          <t>总负荷(小时)</t>
        </is>
      </c>
      <c r="B10">
        <f>SUM(排产明细!$L$2:$L15)</f>
        <v/>
      </c>
      <c r="C10" t="inlineStr">
        <is>
          <t>勾稽明细公式</t>
        </is>
      </c>
    </row>
    <row r="12">
      <c r="A12" s="6" t="inlineStr">
        <is>
          <t>产线</t>
        </is>
      </c>
      <c r="B12" s="6" t="inlineStr">
        <is>
          <t>任务数</t>
        </is>
      </c>
      <c r="C12" s="6" t="inlineStr">
        <is>
          <t>总延期(分)</t>
        </is>
      </c>
      <c r="D12" s="6" t="inlineStr">
        <is>
          <t>准时数</t>
        </is>
      </c>
      <c r="E12" s="6" t="inlineStr">
        <is>
          <t>准时率</t>
        </is>
      </c>
    </row>
    <row r="13">
      <c r="A13" t="inlineStr">
        <is>
          <t>L1</t>
        </is>
      </c>
      <c r="B13">
        <f>COUNTIF(排产明细!$A$2:$A15,$A13)</f>
        <v/>
      </c>
      <c r="C13">
        <f>SUMIF(排产明细!$A$2:$A15,$A13,排产明细!$J$2:$J15)</f>
        <v/>
      </c>
      <c r="D13">
        <f>COUNTIFS(排产明细!$A$2:$A15,$A13,排产明细!$K$2:$K15,1)</f>
        <v/>
      </c>
      <c r="E13">
        <f>IFERROR(D13/B13,0)</f>
        <v/>
      </c>
    </row>
    <row r="14">
      <c r="A14" t="inlineStr">
        <is>
          <t>L2</t>
        </is>
      </c>
      <c r="B14">
        <f>COUNTIF(排产明细!$A$2:$A15,$A14)</f>
        <v/>
      </c>
      <c r="C14">
        <f>SUMIF(排产明细!$A$2:$A15,$A14,排产明细!$J$2:$J15)</f>
        <v/>
      </c>
      <c r="D14">
        <f>COUNTIFS(排产明细!$A$2:$A15,$A14,排产明细!$K$2:$K15,1)</f>
        <v/>
      </c>
      <c r="E14">
        <f>IFERROR(D14/B14,0)</f>
        <v/>
      </c>
    </row>
    <row r="15">
      <c r="A15" t="inlineStr">
        <is>
          <t>L3</t>
        </is>
      </c>
      <c r="B15">
        <f>COUNTIF(排产明细!$A$2:$A15,$A15)</f>
        <v/>
      </c>
      <c r="C15">
        <f>SUMIF(排产明细!$A$2:$A15,$A15,排产明细!$J$2:$J15)</f>
        <v/>
      </c>
      <c r="D15">
        <f>COUNTIFS(排产明细!$A$2:$A15,$A15,排产明细!$K$2:$K15,1)</f>
        <v/>
      </c>
      <c r="E15">
        <f>IFERROR(D15/B15,0)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产线 × 日期 负荷矩阵（SUMIFS 引用明细；红&gt;8h 黄4-8h 绿&lt;4h）</t>
        </is>
      </c>
    </row>
    <row r="3">
      <c r="A3" s="6" t="inlineStr">
        <is>
          <t>产线 / 日期</t>
        </is>
      </c>
      <c r="B3" s="7" t="inlineStr">
        <is>
          <t>2026-08-24</t>
        </is>
      </c>
      <c r="C3" s="7" t="inlineStr">
        <is>
          <t>2026-08-25</t>
        </is>
      </c>
      <c r="D3" s="7" t="inlineStr">
        <is>
          <t>2026-08-26</t>
        </is>
      </c>
      <c r="E3" s="7" t="inlineStr">
        <is>
          <t>2026-08-27</t>
        </is>
      </c>
      <c r="F3" s="7" t="inlineStr">
        <is>
          <t>2026-08-28</t>
        </is>
      </c>
      <c r="G3" s="6" t="inlineStr">
        <is>
          <t>合计</t>
        </is>
      </c>
    </row>
    <row r="4">
      <c r="A4" t="inlineStr">
        <is>
          <t>L1</t>
        </is>
      </c>
      <c r="B4">
        <f>SUMIFS(排产明细!$L$2:$L15,排产明细!$A$2:$A15,$A4,排产明细!$I$2:$I15,B3)</f>
        <v/>
      </c>
      <c r="C4">
        <f>SUMIFS(排产明细!$L$2:$L15,排产明细!$A$2:$A15,$A4,排产明细!$I$2:$I15,C3)</f>
        <v/>
      </c>
      <c r="D4">
        <f>SUMIFS(排产明细!$L$2:$L15,排产明细!$A$2:$A15,$A4,排产明细!$I$2:$I15,D3)</f>
        <v/>
      </c>
      <c r="E4">
        <f>SUMIFS(排产明细!$L$2:$L15,排产明细!$A$2:$A15,$A4,排产明细!$I$2:$I15,E3)</f>
        <v/>
      </c>
      <c r="F4">
        <f>SUMIFS(排产明细!$L$2:$L15,排产明细!$A$2:$A15,$A4,排产明细!$I$2:$I15,F3)</f>
        <v/>
      </c>
      <c r="G4">
        <f>SUM(B4:F4)</f>
        <v/>
      </c>
    </row>
    <row r="5">
      <c r="A5" t="inlineStr">
        <is>
          <t>L2</t>
        </is>
      </c>
      <c r="B5">
        <f>SUMIFS(排产明细!$L$2:$L15,排产明细!$A$2:$A15,$A5,排产明细!$I$2:$I15,B3)</f>
        <v/>
      </c>
      <c r="C5">
        <f>SUMIFS(排产明细!$L$2:$L15,排产明细!$A$2:$A15,$A5,排产明细!$I$2:$I15,C3)</f>
        <v/>
      </c>
      <c r="D5">
        <f>SUMIFS(排产明细!$L$2:$L15,排产明细!$A$2:$A15,$A5,排产明细!$I$2:$I15,D3)</f>
        <v/>
      </c>
      <c r="E5">
        <f>SUMIFS(排产明细!$L$2:$L15,排产明细!$A$2:$A15,$A5,排产明细!$I$2:$I15,E3)</f>
        <v/>
      </c>
      <c r="F5">
        <f>SUMIFS(排产明细!$L$2:$L15,排产明细!$A$2:$A15,$A5,排产明细!$I$2:$I15,F3)</f>
        <v/>
      </c>
      <c r="G5">
        <f>SUM(B5:F5)</f>
        <v/>
      </c>
    </row>
    <row r="6">
      <c r="A6" t="inlineStr">
        <is>
          <t>L3</t>
        </is>
      </c>
      <c r="B6">
        <f>SUMIFS(排产明细!$L$2:$L15,排产明细!$A$2:$A15,$A6,排产明细!$I$2:$I15,B3)</f>
        <v/>
      </c>
      <c r="C6">
        <f>SUMIFS(排产明细!$L$2:$L15,排产明细!$A$2:$A15,$A6,排产明细!$I$2:$I15,C3)</f>
        <v/>
      </c>
      <c r="D6">
        <f>SUMIFS(排产明细!$L$2:$L15,排产明细!$A$2:$A15,$A6,排产明细!$I$2:$I15,D3)</f>
        <v/>
      </c>
      <c r="E6">
        <f>SUMIFS(排产明细!$L$2:$L15,排产明细!$A$2:$A15,$A6,排产明细!$I$2:$I15,E3)</f>
        <v/>
      </c>
      <c r="F6">
        <f>SUMIFS(排产明细!$L$2:$L15,排产明细!$A$2:$A15,$A6,排产明细!$I$2:$I15,F3)</f>
        <v/>
      </c>
      <c r="G6">
        <f>SUM(B6:F6)</f>
        <v/>
      </c>
    </row>
  </sheetData>
  <conditionalFormatting sqref="B4:F6">
    <cfRule type="cellIs" priority="1" operator="greaterThan" dxfId="0">
      <formula>8</formula>
    </cfRule>
    <cfRule type="cellIs" priority="2" operator="between" dxfId="1">
      <formula>4</formula>
      <formula>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5" t="inlineStr">
        <is>
          <t>排产假设与口径（结论可靠性 = 假设可核查）</t>
        </is>
      </c>
    </row>
    <row r="4">
      <c r="A4" s="4" t="inlineStr">
        <is>
          <t>假设ID</t>
        </is>
      </c>
      <c r="B4" s="4" t="inlineStr">
        <is>
          <t>项目</t>
        </is>
      </c>
      <c r="C4" s="4" t="inlineStr">
        <is>
          <t>取值</t>
        </is>
      </c>
      <c r="D4" s="4" t="inlineStr">
        <is>
          <t>来源</t>
        </is>
      </c>
      <c r="E4" s="4" t="inlineStr">
        <is>
          <t>校准状态</t>
        </is>
      </c>
    </row>
    <row r="5">
      <c r="A5" s="2" t="inlineStr">
        <is>
          <t>H1</t>
        </is>
      </c>
      <c r="B5" s="2" t="inlineStr">
        <is>
          <t>产线</t>
        </is>
      </c>
      <c r="C5" s="2" t="inlineStr">
        <is>
          <t>L1吐司/L2蛋糕/L3面包</t>
        </is>
      </c>
      <c r="D5" s="2" t="inlineStr">
        <is>
          <t>APS 标准数据集</t>
        </is>
      </c>
      <c r="E5" s="2" t="inlineStr">
        <is>
          <t>已校准</t>
        </is>
      </c>
    </row>
    <row r="6">
      <c r="A6" s="2" t="inlineStr">
        <is>
          <t>H2</t>
        </is>
      </c>
      <c r="B6" s="2" t="inlineStr">
        <is>
          <t>产能</t>
        </is>
      </c>
      <c r="C6" s="2" t="inlineStr">
        <is>
          <t>speed_per_hour×8</t>
        </is>
      </c>
      <c r="D6" s="2" t="inlineStr">
        <is>
          <t>数据集</t>
        </is>
      </c>
      <c r="E6" s="2" t="inlineStr">
        <is>
          <t>已校准</t>
        </is>
      </c>
    </row>
    <row r="7">
      <c r="A7" s="2" t="inlineStr">
        <is>
          <t>H3</t>
        </is>
      </c>
      <c r="B7" s="2" t="inlineStr">
        <is>
          <t>班次</t>
        </is>
      </c>
      <c r="C7" s="2" t="inlineStr">
        <is>
          <t>单班 8h，周末休</t>
        </is>
      </c>
      <c r="D7" s="2" t="inlineStr">
        <is>
          <t>数据集</t>
        </is>
      </c>
      <c r="E7" s="2" t="inlineStr">
        <is>
          <t>已校准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2026-08-28T02:35:52Z</dcterms:created>
  <dcterms:modified xsi:type="dcterms:W3CDTF">2026-08-28T02:35:52Z</dcterms:modified>
</cp:coreProperties>
</file>